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yectos\MATINAL ONLINE\data\"/>
    </mc:Choice>
  </mc:AlternateContent>
  <xr:revisionPtr revIDLastSave="0" documentId="13_ncr:1_{B9DBD292-5803-43F7-A2B8-EBA9AC6CB7B7}" xr6:coauthVersionLast="47" xr6:coauthVersionMax="47" xr10:uidLastSave="{00000000-0000-0000-0000-000000000000}"/>
  <bookViews>
    <workbookView xWindow="-108" yWindow="-108" windowWidth="23256" windowHeight="12456" activeTab="1" xr2:uid="{C4405403-8AD1-46BC-9444-73E3B4DA109B}"/>
  </bookViews>
  <sheets>
    <sheet name="FECHAS" sheetId="1" r:id="rId1"/>
    <sheet name="MARCAS" sheetId="4" r:id="rId2"/>
    <sheet name="SEGMENTOS" sheetId="5" r:id="rId3"/>
    <sheet name="VENDEDORES" sheetId="2" r:id="rId4"/>
    <sheet name="INVENDIBLE" sheetId="3" r:id="rId5"/>
    <sheet name="CCC" sheetId="6" r:id="rId6"/>
  </sheets>
  <definedNames>
    <definedName name="DatosExternos_1" localSheetId="5" hidden="1">'CCC'!$A$2:$A$6</definedName>
    <definedName name="DatosExternos_1" localSheetId="0" hidden="1">FECHAS!#REF!</definedName>
    <definedName name="DiaLimiteLiquidacion">#REF!</definedName>
    <definedName name="FechaHoy">#REF!</definedName>
    <definedName name="MesOperativoFin">#REF!</definedName>
    <definedName name="MesOperativoInici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5" l="1"/>
  <c r="B7" i="5"/>
  <c r="B6" i="5"/>
  <c r="B5" i="5"/>
  <c r="B4" i="5"/>
  <c r="B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7FF19C-2AAE-4069-A93B-10BBA54BC446}" keepAlive="1" name="Consulta - ALTAS" description="Conexión a la consulta 'ALTAS' en el libro." type="5" refreshedVersion="0" background="1">
    <dbPr connection="Provider=Microsoft.Mashup.OleDb.1;Data Source=$Workbook$;Location=ALTAS;Extended Properties=&quot;&quot;" command="SELECT * FROM [ALTAS]"/>
  </connection>
  <connection id="2" xr16:uid="{0313AB59-D89A-4233-A18B-A8F12BDCEF72}" keepAlive="1" name="Consulta - CALCULO_OBJETIVO_CCC_POR_TAX" description="Conexión a la consulta 'CALCULO_OBJETIVO_CCC_POR_TAX' en el libro." type="5" refreshedVersion="8" background="1" saveData="1">
    <dbPr connection="Provider=Microsoft.Mashup.OleDb.1;Data Source=$Workbook$;Location=CALCULO_OBJETIVO_CCC_POR_TAX;Extended Properties=&quot;&quot;" command="SELECT * FROM [CALCULO_OBJETIVO_CCC_POR_TAX]"/>
  </connection>
  <connection id="3" xr16:uid="{97696C4E-227B-4C0D-A27A-AC9C2D49032B}" keepAlive="1" name="Consulta - CALCULO_OBJETIVO_CCC_POR_TAX (2)" description="Conexión a la consulta 'CALCULO_OBJETIVO_CCC_POR_TAX (2)' en el libro." type="5" refreshedVersion="8" background="1" saveData="1">
    <dbPr connection="Provider=Microsoft.Mashup.OleDb.1;Data Source=$Workbook$;Location=&quot;CALCULO_OBJETIVO_CCC_POR_TAX (2)&quot;;Extended Properties=&quot;&quot;" command="SELECT * FROM [CALCULO_OBJETIVO_CCC_POR_TAX (2)]"/>
  </connection>
  <connection id="4" xr16:uid="{F151C47A-0C40-4765-99AE-5B33C48AD548}" keepAlive="1" name="Consulta - OPORTUNIDADES_CCC_POR_VENDEDOR" description="Conexión a la consulta 'OPORTUNIDADES_CCC_POR_VENDEDOR' en el libro." type="5" refreshedVersion="0" background="1">
    <dbPr connection="Provider=Microsoft.Mashup.OleDb.1;Data Source=$Workbook$;Location=OPORTUNIDADES_CCC_POR_VENDEDOR;Extended Properties=&quot;&quot;" command="SELECT * FROM [OPORTUNIDADES_CCC_POR_VENDEDOR]"/>
  </connection>
  <connection id="5" xr16:uid="{77E401FB-5FFD-479B-A8EA-E5A644194716}" keepAlive="1" name="Consulta - UNIVERSO_RAW" description="Conexión a la consulta 'UNIVERSO_RAW' en el libro." type="5" refreshedVersion="0" background="1">
    <dbPr connection="Provider=Microsoft.Mashup.OleDb.1;Data Source=$Workbook$;Location=UNIVERSO_RAW;Extended Properties=&quot;&quot;" command="SELECT * FROM [UNIVERSO_RAW]"/>
  </connection>
  <connection id="6" xr16:uid="{6A9281DC-3E5A-4657-9C3D-BFA85F1A5C5C}" keepAlive="1" name="Consulta - VENDEDORES" description="Conexión a la consulta 'VENDEDORES' en el libro." type="5" refreshedVersion="0" background="1">
    <dbPr connection="Provider=Microsoft.Mashup.OleDb.1;Data Source=$Workbook$;Location=VENDEDORES;Extended Properties=&quot;&quot;" command="SELECT * FROM [VENDEDORES]"/>
  </connection>
</connections>
</file>

<file path=xl/sharedStrings.xml><?xml version="1.0" encoding="utf-8"?>
<sst xmlns="http://schemas.openxmlformats.org/spreadsheetml/2006/main" count="4294963687" uniqueCount="76">
  <si>
    <t>TABLAS de PARAMETROS</t>
  </si>
  <si>
    <t>VENDEDORES</t>
  </si>
  <si>
    <t>INVENDIBLE</t>
  </si>
  <si>
    <t>PARAMETRO</t>
  </si>
  <si>
    <t>VALOR</t>
  </si>
  <si>
    <t>CodVend</t>
  </si>
  <si>
    <t>Nombre</t>
  </si>
  <si>
    <t>SUP</t>
  </si>
  <si>
    <t>Rutas</t>
  </si>
  <si>
    <t>COD</t>
  </si>
  <si>
    <t>DESCRIPCION</t>
  </si>
  <si>
    <t>Desde</t>
  </si>
  <si>
    <t>Hasta</t>
  </si>
  <si>
    <t>Año</t>
  </si>
  <si>
    <t>GALARZA, MARCELA VIRGINIA</t>
  </si>
  <si>
    <t>Mes</t>
  </si>
  <si>
    <t>PATERNOSTER, LEANDRO</t>
  </si>
  <si>
    <t>Dia Matinal</t>
  </si>
  <si>
    <t>RODRIGUEZ, CRISTIAN</t>
  </si>
  <si>
    <t>Dia Venta</t>
  </si>
  <si>
    <t>OLMOS, JONATAN</t>
  </si>
  <si>
    <t>OBJETIVOS POR MARCA</t>
  </si>
  <si>
    <t>Dia Anterior</t>
  </si>
  <si>
    <t>FUMAROLA, ANGEL</t>
  </si>
  <si>
    <t>Marca</t>
  </si>
  <si>
    <t>OBJ</t>
  </si>
  <si>
    <t>CEBE</t>
  </si>
  <si>
    <t>GROSS</t>
  </si>
  <si>
    <t>Porc_Requerido</t>
  </si>
  <si>
    <t>VILLA, AGUSTIN JAVIER</t>
  </si>
  <si>
    <t>Lays</t>
  </si>
  <si>
    <t>GLOBAL</t>
  </si>
  <si>
    <t>GOMEZ, KAREN NOELIA</t>
  </si>
  <si>
    <t>Doritos</t>
  </si>
  <si>
    <t>CARRUBBA, JULIETA YASMIN</t>
  </si>
  <si>
    <t>Cheetos</t>
  </si>
  <si>
    <t>GODOY, NICOLAS</t>
  </si>
  <si>
    <t>3Ds</t>
  </si>
  <si>
    <t>ORTIZ, LILIANA</t>
  </si>
  <si>
    <t>PEP</t>
  </si>
  <si>
    <t>SANTILLAN, JULIAN</t>
  </si>
  <si>
    <t>PEHUAMAR</t>
  </si>
  <si>
    <t>MONGES, LUJAN</t>
  </si>
  <si>
    <t>TWISTOS</t>
  </si>
  <si>
    <t>CRACKER</t>
  </si>
  <si>
    <t>NININ, FEDERICO</t>
  </si>
  <si>
    <t>TOSTITOS</t>
  </si>
  <si>
    <t>FARIÑA, CAMILA</t>
  </si>
  <si>
    <t>QUAKER</t>
  </si>
  <si>
    <t>CEREAL</t>
  </si>
  <si>
    <t>ARGAÑARAZ, DARIO HERNAN</t>
  </si>
  <si>
    <t>ARGUELLO, ANAHI</t>
  </si>
  <si>
    <t>OBJETIVOS POR SEGMENTO</t>
  </si>
  <si>
    <t>BARRIENTOS, LUCAS RAUL</t>
  </si>
  <si>
    <t>SEGMENTO</t>
  </si>
  <si>
    <t>FICHERA, PABLO</t>
  </si>
  <si>
    <t>GOLD Salty</t>
  </si>
  <si>
    <t>BARRIENTOS, VANESA ELISABET</t>
  </si>
  <si>
    <t>GOLD Crakers</t>
  </si>
  <si>
    <t>ALMIRON, CARLOS ANTONIO</t>
  </si>
  <si>
    <t>SILVER Salty</t>
  </si>
  <si>
    <t>MÜLLER, JULIAN</t>
  </si>
  <si>
    <t>SILVER Crakers</t>
  </si>
  <si>
    <t>GOMEZ, MARY</t>
  </si>
  <si>
    <t>SILVER Cereals</t>
  </si>
  <si>
    <t>MUGA, CARLOS</t>
  </si>
  <si>
    <t>DEPOSITO</t>
  </si>
  <si>
    <t>OBJETIVOS CCC</t>
  </si>
  <si>
    <t>MABELHERDI</t>
  </si>
  <si>
    <t>Taxonomia</t>
  </si>
  <si>
    <t>OBJ_PEPSICO</t>
  </si>
  <si>
    <t>A</t>
  </si>
  <si>
    <t>B</t>
  </si>
  <si>
    <t>C</t>
  </si>
  <si>
    <t>D</t>
  </si>
  <si>
    <t>Obj_Cobertura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</si>
</sst>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4" fontId="7" fillId="4" borderId="6" xfId="0" applyNumberFormat="1" applyFont="1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14" fontId="0" fillId="4" borderId="6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4" borderId="6" xfId="0" applyFill="1" applyBorder="1"/>
    <xf numFmtId="44" fontId="0" fillId="4" borderId="6" xfId="1" applyFont="1" applyFill="1" applyBorder="1"/>
    <xf numFmtId="9" fontId="0" fillId="4" borderId="6" xfId="2" applyFont="1" applyFill="1" applyBorder="1"/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center" vertical="center"/>
    </xf>
  </cellXfs>
  <cellStyles count="4">
    <cellStyle name="Moneda" xfId="1" builtinId="4"/>
    <cellStyle name="Normal" xfId="0" builtinId="0"/>
    <cellStyle name="Porcentaje" xfId="2" builtinId="5"/>
    <cellStyle name="Porcentaje 3" xfId="3" xr:uid="{43E87D2C-7C1D-4FA2-8AA7-FD8C1DFF4CD5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  <vertical/>
        <horizontal/>
      </border>
    </dxf>
    <dxf>
      <numFmt numFmtId="13" formatCode="0%"/>
      <fill>
        <patternFill patternType="solid">
          <fgColor indexed="64"/>
          <bgColor rgb="FFFFFF00"/>
        </patternFill>
      </fill>
      <border diagonalUp="0" diagonalDown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  <vertical/>
        <horizontal style="mediumDashed">
          <color auto="1"/>
        </horizontal>
      </border>
    </dxf>
    <dxf>
      <fill>
        <patternFill patternType="solid">
          <fgColor indexed="64"/>
          <bgColor rgb="FFFFFF00"/>
        </patternFill>
      </fill>
      <border diagonalUp="0" diagonalDown="0" outline="0">
        <left/>
        <right/>
        <top style="mediumDashed">
          <color auto="1"/>
        </top>
        <bottom style="mediumDashed">
          <color auto="1"/>
        </bottom>
      </border>
    </dxf>
    <dxf>
      <font>
        <b/>
      </font>
      <border outline="0">
        <left style="mediumDashed">
          <color auto="1"/>
        </left>
        <right style="mediumDashed">
          <color auto="1"/>
        </right>
      </border>
    </dxf>
    <dxf>
      <fill>
        <patternFill patternType="solid">
          <fgColor indexed="64"/>
          <bgColor rgb="FFFFFF00"/>
        </patternFill>
      </fill>
      <border diagonalUp="0" diagonalDown="0" outline="0">
        <left/>
        <right/>
        <top style="mediumDashed">
          <color auto="1"/>
        </top>
        <bottom style="mediumDashed">
          <color auto="1"/>
        </bottom>
      </border>
    </dxf>
    <dxf>
      <font>
        <b/>
      </font>
      <border outline="0">
        <right style="mediumDashed">
          <color auto="1"/>
        </right>
      </border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F00"/>
        </patternFill>
      </fill>
      <border diagonalUp="0" diagonalDown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  <vertical/>
        <horizontal/>
      </border>
    </dxf>
    <dxf>
      <font>
        <b/>
      </font>
      <numFmt numFmtId="0" formatCode="General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  <border>
        <left style="mediumDashed">
          <color auto="1"/>
        </left>
        <right style="mediumDashed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theme="1"/>
        </lef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rgb="FFFFFF00"/>
        </patternFill>
      </fill>
      <border diagonalUp="0" diagonalDown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  <vertical/>
        <horizontal/>
      </border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EC0F27F1-B889-4263-941C-785BD702231D}" autoFormatId="16" applyNumberFormats="0" applyBorderFormats="0" applyFontFormats="0" applyPatternFormats="0" applyAlignmentFormats="0" applyWidthHeightFormats="0">
  <queryTableRefresh nextId="6" unboundColumnsRight="1">
    <queryTableFields count="2">
      <queryTableField id="1" name="Taxonomia" tableColumnId="1"/>
      <queryTableField id="3" dataBound="0" tableColumnId="3"/>
    </queryTableFields>
    <queryTableDeletedFields count="1">
      <deletedField name="Cartera_Total"/>
    </queryTableDeleted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6C9EB2-DFAD-4F3F-8261-D379BAB65AB3}" name="FECHAS" displayName="FECHAS" ref="A4:B9" totalsRowShown="0" headerRowDxfId="27">
  <autoFilter ref="A4:B9" xr:uid="{A722C27F-65BA-409E-948F-01EB13F8EDB1}">
    <filterColumn colId="0" hiddenButton="1"/>
    <filterColumn colId="1" hiddenButton="1"/>
  </autoFilter>
  <tableColumns count="2">
    <tableColumn id="1" xr3:uid="{5F8EB6F8-D34A-4F96-B2CB-CE97A0A5AF76}" name="PARAMETRO" dataDxfId="26"/>
    <tableColumn id="2" xr3:uid="{02ADF40C-84AB-4893-A09B-4990ECAA5EE4}" name="VALO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C75DCDA-A932-4B50-BF5F-C320E376D186}" name="MARCAS" displayName="MARCAS" ref="A2:F11" totalsRowShown="0" headerRowDxfId="6">
  <autoFilter ref="A2:F11" xr:uid="{CC75DCDA-A932-4B50-BF5F-C320E376D1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B1E40F3-B52B-4F83-9864-1E305078DDA7}" name="Marca" dataDxfId="5"/>
    <tableColumn id="2" xr3:uid="{AF4E0D6F-D9EC-4A8B-8934-A6FEC54D4113}" name="OBJ" dataDxfId="4"/>
    <tableColumn id="3" xr3:uid="{57E7D2FF-72CF-4BBD-8A29-52A636F1059E}" name="CEBE" dataDxfId="3"/>
    <tableColumn id="4" xr3:uid="{ED003413-B75E-4DFB-A39C-F0B86E72FD67}" name="GROSS" dataDxfId="2" dataCellStyle="Moneda"/>
    <tableColumn id="5" xr3:uid="{ACC8A0FD-DDE0-4020-AE4F-E6CD410527BD}" name="Porc_Requerido" dataDxfId="1" dataCellStyle="Porcentaje"/>
    <tableColumn id="6" xr3:uid="{4A683FD4-D28C-44F8-8661-FA19D29705F5}" name="Obj_Cobertura" dataDxfId="0" dataCellStyle="Porcentaje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533F54E-6DD8-48BE-91C6-748C1A4C632A}" name="SEGMENTOS" displayName="SEGMENTOS" ref="A2:C7" totalsRowShown="0">
  <autoFilter ref="A2:C7" xr:uid="{E533F54E-6DD8-48BE-91C6-748C1A4C632A}"/>
  <tableColumns count="3">
    <tableColumn id="1" xr3:uid="{42157F4C-5146-4258-9A27-F96869134E1F}" name="SEGMENTO" dataDxfId="25"/>
    <tableColumn id="2" xr3:uid="{7FFE5579-826E-4C3A-A8D6-70B07D3913C5}" name="OBJ" dataDxfId="24"/>
    <tableColumn id="3" xr3:uid="{A88CCE33-16B2-45F9-98C8-D66F3170B5F3}" name="Porc_Requerido" dataDxfId="23" dataCellStyle="Porcentaje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7FD53BB-ACC2-4621-BBB4-4D1A0E3D37AC}" name="VENDEDORES" displayName="VENDEDORES" ref="A2:D27" totalsRowShown="0" headerRowDxfId="22" headerRowBorderDxfId="21" tableBorderDxfId="20" totalsRowBorderDxfId="19">
  <autoFilter ref="A2:D27" xr:uid="{C7FD53BB-ACC2-4621-BBB4-4D1A0E3D37AC}"/>
  <tableColumns count="4">
    <tableColumn id="1" xr3:uid="{DB3F861C-B76A-412C-9F75-A11FB6A69AE3}" name="CodVend" dataDxfId="18"/>
    <tableColumn id="2" xr3:uid="{97DC079F-58B4-4136-80A8-F1E4423750E9}" name="Nombre" dataDxfId="17"/>
    <tableColumn id="3" xr3:uid="{0C09E09E-73B1-48EB-9A0A-DA935FA7EF2E}" name="SUP" dataDxfId="16"/>
    <tableColumn id="4" xr3:uid="{3D0816F0-3BD3-4F31-99E7-BB7DA2335E96}" name="Rutas" dataDxfId="1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86E829A-C8F9-4626-A894-C7D14E4BEBAF}" name="INVENDIBLE" displayName="INVENDIBLE" ref="A2:D4" totalsRowShown="0">
  <autoFilter ref="A2:D4" xr:uid="{486E829A-C8F9-4626-A894-C7D14E4BEBAF}"/>
  <tableColumns count="4">
    <tableColumn id="1" xr3:uid="{5F5C4ED6-C81C-4F03-BFF4-CDF18856D769}" name="COD" dataDxfId="14"/>
    <tableColumn id="2" xr3:uid="{4EAD7D8A-BE80-4C7A-AB3C-FD5BB7DB4DA2}" name="DESCRIPCION" dataDxfId="13"/>
    <tableColumn id="3" xr3:uid="{03A150D1-B2A3-4FD2-BA8E-9C4CD55F8160}" name="Desde" dataDxfId="12"/>
    <tableColumn id="4" xr3:uid="{20D44A67-0879-443C-80A2-B2A6D60A4752}" name="Hasta" dataDxfId="11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022A723-E976-4010-B123-8739FF36BC55}" name="CCC" displayName="CCC" ref="A2:B6" tableType="queryTable" totalsRowShown="0" headerRowDxfId="10">
  <autoFilter ref="A2:B6" xr:uid="{F022A723-E976-4010-B123-8739FF36BC55}">
    <filterColumn colId="0" hiddenButton="1"/>
    <filterColumn colId="1" hiddenButton="1"/>
  </autoFilter>
  <tableColumns count="2">
    <tableColumn id="1" xr3:uid="{F9712261-341A-4566-B58B-C6D6BD113E8E}" uniqueName="1" name="Taxonomia" queryTableFieldId="1" dataDxfId="9"/>
    <tableColumn id="3" xr3:uid="{9A19E11C-0E07-48DF-8026-BCF521E046F1}" uniqueName="3" name="OBJ_PEPSICO" queryTableFieldId="3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B6319A-C836-497E-A71C-4D3D72C5318F}">
  <we:reference id="wa200003696" version="1.3.0.0" store="es-M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E597-93DB-4F18-9E0E-C567C6FCC43D}">
  <dimension ref="A1:C9"/>
  <sheetViews>
    <sheetView showGridLines="0" workbookViewId="0">
      <selection activeCell="B10" sqref="B10"/>
    </sheetView>
  </sheetViews>
  <sheetFormatPr baseColWidth="10" defaultColWidth="0" defaultRowHeight="14.4" x14ac:dyDescent="0.3"/>
  <cols>
    <col min="1" max="1" width="13.77734375" customWidth="1"/>
    <col min="2" max="2" width="11.5546875" customWidth="1"/>
    <col min="3" max="3" width="11.88671875" customWidth="1"/>
    <col min="4" max="16384" width="11.5546875" hidden="1"/>
  </cols>
  <sheetData>
    <row r="1" spans="1:3" ht="31.2" x14ac:dyDescent="0.6">
      <c r="A1" s="1" t="s">
        <v>0</v>
      </c>
    </row>
    <row r="4" spans="1:3" x14ac:dyDescent="0.3">
      <c r="A4" s="3" t="s">
        <v>3</v>
      </c>
      <c r="B4" s="3" t="s">
        <v>4</v>
      </c>
      <c r="C4" s="3"/>
    </row>
    <row r="5" spans="1:3" ht="15" thickBot="1" x14ac:dyDescent="0.35">
      <c r="A5" s="9" t="s">
        <v>13</v>
      </c>
      <c r="B5" s="10">
        <f>YEAR(B8)</f>
        <v>2026</v>
      </c>
      <c r="C5" s="10"/>
    </row>
    <row r="6" spans="1:3" ht="15" thickBot="1" x14ac:dyDescent="0.35">
      <c r="A6" s="9" t="s">
        <v>15</v>
      </c>
      <c r="B6" s="16">
        <v>8</v>
      </c>
      <c r="C6" s="17"/>
    </row>
    <row r="7" spans="1:3" ht="15" thickBot="1" x14ac:dyDescent="0.35">
      <c r="A7" s="9" t="s">
        <v>17</v>
      </c>
      <c r="B7" s="21">
        <v>46265</v>
      </c>
      <c r="C7" s="22"/>
    </row>
    <row r="8" spans="1:3" ht="15" thickBot="1" x14ac:dyDescent="0.35">
      <c r="A8" s="9" t="s">
        <v>19</v>
      </c>
      <c r="B8" s="21">
        <v>46263</v>
      </c>
      <c r="C8" s="22"/>
    </row>
    <row r="9" spans="1:3" ht="15" thickBot="1" x14ac:dyDescent="0.35">
      <c r="A9" s="9" t="s">
        <v>22</v>
      </c>
      <c r="B9" s="21">
        <v>46262</v>
      </c>
      <c r="C9" s="22"/>
    </row>
  </sheetData>
  <conditionalFormatting sqref="C8:C9">
    <cfRule type="cellIs" dxfId="7" priority="1" operator="equal">
      <formula>"Ingresar Dia Matinal"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016D-89A0-46E5-B1CB-1AE10E233483}">
  <dimension ref="A1:F11"/>
  <sheetViews>
    <sheetView tabSelected="1" workbookViewId="0">
      <selection activeCell="F16" sqref="F16"/>
    </sheetView>
  </sheetViews>
  <sheetFormatPr baseColWidth="10" defaultRowHeight="14.4" x14ac:dyDescent="0.3"/>
  <cols>
    <col min="4" max="4" width="12.77734375" bestFit="1" customWidth="1"/>
    <col min="5" max="5" width="14.44140625" bestFit="1" customWidth="1"/>
    <col min="6" max="6" width="13.44140625" bestFit="1" customWidth="1"/>
  </cols>
  <sheetData>
    <row r="1" spans="1:6" x14ac:dyDescent="0.3">
      <c r="A1" s="2" t="s">
        <v>21</v>
      </c>
    </row>
    <row r="2" spans="1:6" ht="15" thickBot="1" x14ac:dyDescent="0.35">
      <c r="A2" s="10" t="s">
        <v>24</v>
      </c>
      <c r="B2" s="10" t="s">
        <v>25</v>
      </c>
      <c r="C2" s="10" t="s">
        <v>26</v>
      </c>
      <c r="D2" s="10" t="s">
        <v>27</v>
      </c>
      <c r="E2" s="10" t="s">
        <v>28</v>
      </c>
      <c r="F2" s="10" t="s">
        <v>75</v>
      </c>
    </row>
    <row r="3" spans="1:6" ht="15" thickBot="1" x14ac:dyDescent="0.35">
      <c r="A3" s="2" t="s">
        <v>30</v>
      </c>
      <c r="B3" s="23">
        <v>15500</v>
      </c>
      <c r="C3" s="2" t="s">
        <v>31</v>
      </c>
      <c r="D3" s="24">
        <v>376482.3</v>
      </c>
      <c r="E3" s="25">
        <v>1.06</v>
      </c>
      <c r="F3" s="25">
        <v>0.89</v>
      </c>
    </row>
    <row r="4" spans="1:6" ht="15" thickBot="1" x14ac:dyDescent="0.35">
      <c r="A4" s="2" t="s">
        <v>33</v>
      </c>
      <c r="B4" s="23">
        <v>11300</v>
      </c>
      <c r="C4" s="2" t="s">
        <v>31</v>
      </c>
      <c r="D4" s="24">
        <v>288925</v>
      </c>
      <c r="E4" s="25">
        <v>1.06</v>
      </c>
      <c r="F4" s="25">
        <v>0.85</v>
      </c>
    </row>
    <row r="5" spans="1:6" ht="15" thickBot="1" x14ac:dyDescent="0.35">
      <c r="A5" s="2" t="s">
        <v>35</v>
      </c>
      <c r="B5" s="23">
        <v>4800</v>
      </c>
      <c r="C5" s="2" t="s">
        <v>31</v>
      </c>
      <c r="D5" s="24">
        <v>120118.7</v>
      </c>
      <c r="E5" s="25">
        <v>1.06</v>
      </c>
      <c r="F5" s="25">
        <v>0.66</v>
      </c>
    </row>
    <row r="6" spans="1:6" ht="15" thickBot="1" x14ac:dyDescent="0.35">
      <c r="A6" s="2" t="s">
        <v>37</v>
      </c>
      <c r="B6" s="23">
        <v>3500</v>
      </c>
      <c r="C6" s="2" t="s">
        <v>31</v>
      </c>
      <c r="D6" s="24">
        <v>86280</v>
      </c>
      <c r="E6" s="25">
        <v>1.06</v>
      </c>
      <c r="F6" s="25">
        <v>0.64</v>
      </c>
    </row>
    <row r="7" spans="1:6" ht="15" thickBot="1" x14ac:dyDescent="0.35">
      <c r="A7" s="2" t="s">
        <v>39</v>
      </c>
      <c r="B7" s="23">
        <v>6800</v>
      </c>
      <c r="C7" s="2" t="s">
        <v>31</v>
      </c>
      <c r="D7" s="24">
        <v>111618.7</v>
      </c>
      <c r="E7" s="25">
        <v>1.06</v>
      </c>
      <c r="F7" s="25">
        <v>0.67</v>
      </c>
    </row>
    <row r="8" spans="1:6" ht="15" thickBot="1" x14ac:dyDescent="0.35">
      <c r="A8" s="2" t="s">
        <v>41</v>
      </c>
      <c r="B8" s="23">
        <v>14400</v>
      </c>
      <c r="C8" s="2" t="s">
        <v>41</v>
      </c>
      <c r="D8" s="24">
        <v>212003.3</v>
      </c>
      <c r="E8" s="25">
        <v>1.06</v>
      </c>
      <c r="F8" s="25">
        <v>0.5</v>
      </c>
    </row>
    <row r="9" spans="1:6" ht="15" thickBot="1" x14ac:dyDescent="0.35">
      <c r="A9" s="2" t="s">
        <v>43</v>
      </c>
      <c r="B9" s="23">
        <v>5800</v>
      </c>
      <c r="C9" s="2" t="s">
        <v>44</v>
      </c>
      <c r="D9" s="24">
        <v>133612.6</v>
      </c>
      <c r="E9" s="25">
        <v>1.06</v>
      </c>
      <c r="F9" s="25">
        <v>0.56000000000000005</v>
      </c>
    </row>
    <row r="10" spans="1:6" ht="15" thickBot="1" x14ac:dyDescent="0.35">
      <c r="A10" s="2" t="s">
        <v>46</v>
      </c>
      <c r="B10" s="23">
        <v>500</v>
      </c>
      <c r="C10" s="2" t="s">
        <v>31</v>
      </c>
      <c r="D10" s="24">
        <v>10727.7</v>
      </c>
      <c r="E10" s="25">
        <v>1.06</v>
      </c>
      <c r="F10" s="25">
        <v>0.14000000000000001</v>
      </c>
    </row>
    <row r="11" spans="1:6" ht="15" thickBot="1" x14ac:dyDescent="0.35">
      <c r="A11" s="2" t="s">
        <v>48</v>
      </c>
      <c r="B11" s="23">
        <v>2400</v>
      </c>
      <c r="C11" s="2" t="s">
        <v>49</v>
      </c>
      <c r="D11" s="24">
        <v>10865</v>
      </c>
      <c r="E11" s="25">
        <v>1.06</v>
      </c>
      <c r="F11" s="25">
        <v>0.14000000000000001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5A36-638C-40FF-A541-E69329E36288}">
  <dimension ref="A1:C7"/>
  <sheetViews>
    <sheetView workbookViewId="0">
      <selection activeCell="A4" sqref="A4"/>
    </sheetView>
  </sheetViews>
  <sheetFormatPr baseColWidth="10" defaultRowHeight="14.4" x14ac:dyDescent="0.3"/>
  <cols>
    <col min="1" max="1" width="24.5546875" bestFit="1" customWidth="1"/>
    <col min="2" max="2" width="15.6640625" customWidth="1"/>
  </cols>
  <sheetData>
    <row r="1" spans="1:3" x14ac:dyDescent="0.3">
      <c r="A1" s="2" t="s">
        <v>52</v>
      </c>
    </row>
    <row r="2" spans="1:3" ht="15" thickBot="1" x14ac:dyDescent="0.35">
      <c r="A2" t="s">
        <v>54</v>
      </c>
      <c r="B2" t="s">
        <v>25</v>
      </c>
      <c r="C2" t="s">
        <v>28</v>
      </c>
    </row>
    <row r="3" spans="1:3" ht="15" thickBot="1" x14ac:dyDescent="0.35">
      <c r="A3" s="2" t="s">
        <v>56</v>
      </c>
      <c r="B3" s="23">
        <f>SUMIF(MARCAS[CEBE],"GLOBAL",MARCAS[OBJ])</f>
        <v>42400</v>
      </c>
      <c r="C3" s="25">
        <v>1.06</v>
      </c>
    </row>
    <row r="4" spans="1:3" ht="15" thickBot="1" x14ac:dyDescent="0.35">
      <c r="A4" s="2" t="s">
        <v>58</v>
      </c>
      <c r="B4" s="23">
        <f>MARCAS!B9*0.82</f>
        <v>4756</v>
      </c>
      <c r="C4" s="25">
        <v>1.06</v>
      </c>
    </row>
    <row r="5" spans="1:3" ht="15" thickBot="1" x14ac:dyDescent="0.35">
      <c r="A5" s="2" t="s">
        <v>60</v>
      </c>
      <c r="B5" s="23">
        <f>+MARCAS!B8</f>
        <v>14400</v>
      </c>
      <c r="C5" s="25">
        <v>1.06</v>
      </c>
    </row>
    <row r="6" spans="1:3" ht="15" thickBot="1" x14ac:dyDescent="0.35">
      <c r="A6" s="2" t="s">
        <v>62</v>
      </c>
      <c r="B6" s="23">
        <f>MARCAS!B9*0.18</f>
        <v>1044</v>
      </c>
      <c r="C6" s="25">
        <v>1.06</v>
      </c>
    </row>
    <row r="7" spans="1:3" ht="15" thickBot="1" x14ac:dyDescent="0.35">
      <c r="A7" s="2" t="s">
        <v>64</v>
      </c>
      <c r="B7" s="23">
        <f>+MARCAS!B11</f>
        <v>2400</v>
      </c>
      <c r="C7" s="25">
        <v>1.06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D270-0B83-4324-81C7-E84138AEEB58}">
  <dimension ref="A1:D27"/>
  <sheetViews>
    <sheetView workbookViewId="0">
      <selection activeCell="B11" sqref="B11"/>
    </sheetView>
  </sheetViews>
  <sheetFormatPr baseColWidth="10" defaultRowHeight="14.4" x14ac:dyDescent="0.3"/>
  <cols>
    <col min="1" max="1" width="13.21875" bestFit="1" customWidth="1"/>
    <col min="2" max="2" width="27.33203125" bestFit="1" customWidth="1"/>
    <col min="3" max="3" width="8.88671875" bestFit="1" customWidth="1"/>
    <col min="4" max="4" width="10.109375" bestFit="1" customWidth="1"/>
  </cols>
  <sheetData>
    <row r="1" spans="1:4" x14ac:dyDescent="0.3">
      <c r="A1" s="2" t="s">
        <v>1</v>
      </c>
    </row>
    <row r="2" spans="1:4" x14ac:dyDescent="0.3">
      <c r="A2" s="4" t="s">
        <v>5</v>
      </c>
      <c r="B2" s="5" t="s">
        <v>6</v>
      </c>
      <c r="C2" s="6" t="s">
        <v>7</v>
      </c>
      <c r="D2" s="6" t="s">
        <v>8</v>
      </c>
    </row>
    <row r="3" spans="1:4" x14ac:dyDescent="0.3">
      <c r="A3" s="11">
        <v>1</v>
      </c>
      <c r="B3" s="12" t="s">
        <v>14</v>
      </c>
      <c r="C3" s="13">
        <v>70</v>
      </c>
      <c r="D3" s="13">
        <v>2</v>
      </c>
    </row>
    <row r="4" spans="1:4" x14ac:dyDescent="0.3">
      <c r="A4" s="18">
        <v>2</v>
      </c>
      <c r="B4" s="19" t="s">
        <v>16</v>
      </c>
      <c r="C4" s="20">
        <v>47</v>
      </c>
      <c r="D4" s="20">
        <v>2</v>
      </c>
    </row>
    <row r="5" spans="1:4" x14ac:dyDescent="0.3">
      <c r="A5" s="11">
        <v>3</v>
      </c>
      <c r="B5" s="12" t="s">
        <v>18</v>
      </c>
      <c r="C5" s="13">
        <v>70</v>
      </c>
      <c r="D5" s="13">
        <v>2</v>
      </c>
    </row>
    <row r="6" spans="1:4" x14ac:dyDescent="0.3">
      <c r="A6" s="18">
        <v>4</v>
      </c>
      <c r="B6" s="19" t="s">
        <v>20</v>
      </c>
      <c r="C6" s="20">
        <v>47</v>
      </c>
      <c r="D6" s="20">
        <v>2</v>
      </c>
    </row>
    <row r="7" spans="1:4" x14ac:dyDescent="0.3">
      <c r="A7" s="11">
        <v>5</v>
      </c>
      <c r="B7" s="12" t="s">
        <v>23</v>
      </c>
      <c r="C7" s="13">
        <v>60</v>
      </c>
      <c r="D7" s="13">
        <v>1</v>
      </c>
    </row>
    <row r="8" spans="1:4" x14ac:dyDescent="0.3">
      <c r="A8" s="18">
        <v>6</v>
      </c>
      <c r="B8" s="19" t="s">
        <v>29</v>
      </c>
      <c r="C8" s="20">
        <v>60</v>
      </c>
      <c r="D8" s="20">
        <v>1</v>
      </c>
    </row>
    <row r="9" spans="1:4" x14ac:dyDescent="0.3">
      <c r="A9" s="11">
        <v>8</v>
      </c>
      <c r="B9" s="12" t="s">
        <v>32</v>
      </c>
      <c r="C9" s="13">
        <v>60</v>
      </c>
      <c r="D9" s="13">
        <v>1</v>
      </c>
    </row>
    <row r="10" spans="1:4" x14ac:dyDescent="0.3">
      <c r="A10" s="18">
        <v>9</v>
      </c>
      <c r="B10" s="19" t="s">
        <v>34</v>
      </c>
      <c r="C10" s="20">
        <v>60</v>
      </c>
      <c r="D10" s="20">
        <v>1</v>
      </c>
    </row>
    <row r="11" spans="1:4" x14ac:dyDescent="0.3">
      <c r="A11" s="11">
        <v>10</v>
      </c>
      <c r="B11" s="12" t="s">
        <v>36</v>
      </c>
      <c r="C11" s="13">
        <v>60</v>
      </c>
      <c r="D11" s="13">
        <v>1</v>
      </c>
    </row>
    <row r="12" spans="1:4" x14ac:dyDescent="0.3">
      <c r="A12" s="18">
        <v>11</v>
      </c>
      <c r="B12" s="19" t="s">
        <v>38</v>
      </c>
      <c r="C12" s="20">
        <v>70</v>
      </c>
      <c r="D12" s="20">
        <v>2</v>
      </c>
    </row>
    <row r="13" spans="1:4" x14ac:dyDescent="0.3">
      <c r="A13" s="11">
        <v>13</v>
      </c>
      <c r="B13" s="12" t="s">
        <v>40</v>
      </c>
      <c r="C13" s="13">
        <v>47</v>
      </c>
      <c r="D13" s="13">
        <v>2</v>
      </c>
    </row>
    <row r="14" spans="1:4" x14ac:dyDescent="0.3">
      <c r="A14" s="18">
        <v>14</v>
      </c>
      <c r="B14" s="19" t="s">
        <v>42</v>
      </c>
      <c r="C14" s="20">
        <v>70</v>
      </c>
      <c r="D14" s="20">
        <v>1</v>
      </c>
    </row>
    <row r="15" spans="1:4" x14ac:dyDescent="0.3">
      <c r="A15" s="11">
        <v>15</v>
      </c>
      <c r="B15" s="12" t="s">
        <v>45</v>
      </c>
      <c r="C15" s="13">
        <v>70</v>
      </c>
      <c r="D15" s="13">
        <v>1</v>
      </c>
    </row>
    <row r="16" spans="1:4" x14ac:dyDescent="0.3">
      <c r="A16" s="18">
        <v>19</v>
      </c>
      <c r="B16" s="19" t="s">
        <v>47</v>
      </c>
      <c r="C16" s="20">
        <v>60</v>
      </c>
      <c r="D16" s="20">
        <v>1</v>
      </c>
    </row>
    <row r="17" spans="1:4" x14ac:dyDescent="0.3">
      <c r="A17" s="11">
        <v>22</v>
      </c>
      <c r="B17" s="12" t="s">
        <v>50</v>
      </c>
      <c r="C17" s="13">
        <v>60</v>
      </c>
      <c r="D17" s="13">
        <v>1</v>
      </c>
    </row>
    <row r="18" spans="1:4" x14ac:dyDescent="0.3">
      <c r="A18" s="18">
        <v>23</v>
      </c>
      <c r="B18" s="19" t="s">
        <v>51</v>
      </c>
      <c r="C18" s="20">
        <v>60</v>
      </c>
      <c r="D18" s="20">
        <v>1</v>
      </c>
    </row>
    <row r="19" spans="1:4" x14ac:dyDescent="0.3">
      <c r="A19" s="11">
        <v>24</v>
      </c>
      <c r="B19" s="12" t="s">
        <v>53</v>
      </c>
      <c r="C19" s="13">
        <v>70</v>
      </c>
      <c r="D19" s="13">
        <v>2</v>
      </c>
    </row>
    <row r="20" spans="1:4" x14ac:dyDescent="0.3">
      <c r="A20" s="18">
        <v>25</v>
      </c>
      <c r="B20" s="19" t="s">
        <v>55</v>
      </c>
      <c r="C20" s="20">
        <v>70</v>
      </c>
      <c r="D20" s="20">
        <v>2</v>
      </c>
    </row>
    <row r="21" spans="1:4" x14ac:dyDescent="0.3">
      <c r="A21" s="11">
        <v>28</v>
      </c>
      <c r="B21" s="12" t="s">
        <v>57</v>
      </c>
      <c r="C21" s="13">
        <v>70</v>
      </c>
      <c r="D21" s="13">
        <v>2</v>
      </c>
    </row>
    <row r="22" spans="1:4" x14ac:dyDescent="0.3">
      <c r="A22" s="18">
        <v>32</v>
      </c>
      <c r="B22" s="19" t="s">
        <v>59</v>
      </c>
      <c r="C22" s="20">
        <v>47</v>
      </c>
      <c r="D22" s="20">
        <v>2</v>
      </c>
    </row>
    <row r="23" spans="1:4" x14ac:dyDescent="0.3">
      <c r="A23" s="11">
        <v>37</v>
      </c>
      <c r="B23" s="12" t="s">
        <v>61</v>
      </c>
      <c r="C23" s="13">
        <v>47</v>
      </c>
      <c r="D23" s="13">
        <v>2</v>
      </c>
    </row>
    <row r="24" spans="1:4" x14ac:dyDescent="0.3">
      <c r="A24" s="18">
        <v>39</v>
      </c>
      <c r="B24" s="19" t="s">
        <v>63</v>
      </c>
      <c r="C24" s="20">
        <v>47</v>
      </c>
      <c r="D24" s="20">
        <v>2</v>
      </c>
    </row>
    <row r="25" spans="1:4" x14ac:dyDescent="0.3">
      <c r="A25" s="11">
        <v>40</v>
      </c>
      <c r="B25" s="12" t="s">
        <v>65</v>
      </c>
      <c r="C25" s="13">
        <v>47</v>
      </c>
      <c r="D25" s="13">
        <v>2</v>
      </c>
    </row>
    <row r="26" spans="1:4" x14ac:dyDescent="0.3">
      <c r="A26" s="18">
        <v>20</v>
      </c>
      <c r="B26" s="19" t="s">
        <v>66</v>
      </c>
      <c r="C26" s="20">
        <v>0</v>
      </c>
      <c r="D26" s="20"/>
    </row>
    <row r="27" spans="1:4" x14ac:dyDescent="0.3">
      <c r="A27" s="26">
        <v>99</v>
      </c>
      <c r="B27" s="27" t="s">
        <v>68</v>
      </c>
      <c r="C27" s="28">
        <v>0</v>
      </c>
      <c r="D27" s="2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AA8D-30BC-4115-B13E-734CD6E68E67}">
  <dimension ref="A1:D4"/>
  <sheetViews>
    <sheetView workbookViewId="0">
      <selection activeCell="B3" sqref="B3"/>
    </sheetView>
  </sheetViews>
  <sheetFormatPr baseColWidth="10" defaultRowHeight="14.4" x14ac:dyDescent="0.3"/>
  <sheetData>
    <row r="1" spans="1:4" x14ac:dyDescent="0.3">
      <c r="A1" s="2" t="s">
        <v>2</v>
      </c>
    </row>
    <row r="2" spans="1:4" ht="15" thickBot="1" x14ac:dyDescent="0.35">
      <c r="A2" s="7" t="s">
        <v>9</v>
      </c>
      <c r="B2" s="8" t="s">
        <v>10</v>
      </c>
      <c r="C2" s="8" t="s">
        <v>11</v>
      </c>
      <c r="D2" s="8" t="s">
        <v>12</v>
      </c>
    </row>
    <row r="3" spans="1:4" ht="15" thickBot="1" x14ac:dyDescent="0.35">
      <c r="A3" s="14">
        <v>300066580</v>
      </c>
      <c r="C3" s="15">
        <v>46206</v>
      </c>
      <c r="D3" s="15">
        <v>46256</v>
      </c>
    </row>
    <row r="4" spans="1:4" ht="15" thickBot="1" x14ac:dyDescent="0.35">
      <c r="A4" s="14">
        <v>300066581</v>
      </c>
      <c r="C4" s="15">
        <v>46206</v>
      </c>
      <c r="D4" s="15">
        <v>46256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39EA-0E21-496B-AF3C-C43255427346}">
  <dimension ref="A1:B6"/>
  <sheetViews>
    <sheetView workbookViewId="0">
      <selection activeCell="D7" sqref="D7"/>
    </sheetView>
  </sheetViews>
  <sheetFormatPr baseColWidth="10" defaultRowHeight="14.4" x14ac:dyDescent="0.3"/>
  <sheetData>
    <row r="1" spans="1:2" x14ac:dyDescent="0.3">
      <c r="A1" s="2" t="s">
        <v>67</v>
      </c>
    </row>
    <row r="2" spans="1:2" ht="15" thickBot="1" x14ac:dyDescent="0.35">
      <c r="A2" s="10" t="s">
        <v>69</v>
      </c>
      <c r="B2" s="10" t="s">
        <v>70</v>
      </c>
    </row>
    <row r="3" spans="1:2" ht="15" thickBot="1" x14ac:dyDescent="0.35">
      <c r="A3" s="2" t="s">
        <v>71</v>
      </c>
      <c r="B3" s="23">
        <v>490</v>
      </c>
    </row>
    <row r="4" spans="1:2" ht="15" thickBot="1" x14ac:dyDescent="0.35">
      <c r="A4" s="2" t="s">
        <v>72</v>
      </c>
      <c r="B4" s="23">
        <v>688</v>
      </c>
    </row>
    <row r="5" spans="1:2" ht="15" thickBot="1" x14ac:dyDescent="0.35">
      <c r="A5" s="2" t="s">
        <v>73</v>
      </c>
      <c r="B5" s="23">
        <v>1410</v>
      </c>
    </row>
    <row r="6" spans="1:2" ht="15" thickBot="1" x14ac:dyDescent="0.35">
      <c r="A6" s="2" t="s">
        <v>74</v>
      </c>
      <c r="B6" s="23">
        <v>2351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B2CD61-8127-424D-8270-7693F44645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FECHAS</vt:lpstr>
      <vt:lpstr>MARCAS</vt:lpstr>
      <vt:lpstr>SEGMENTOS</vt:lpstr>
      <vt:lpstr>VENDEDORES</vt:lpstr>
      <vt:lpstr>INVENDIBLE</vt:lpstr>
      <vt:lpstr>CCC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Azcona</dc:creator>
  <cp:lastModifiedBy>Gabriel Azcona</cp:lastModifiedBy>
  <dcterms:created xsi:type="dcterms:W3CDTF">2026-08-26T16:52:34Z</dcterms:created>
  <dcterms:modified xsi:type="dcterms:W3CDTF">2026-08-31T16:09:11Z</dcterms:modified>
</cp:coreProperties>
</file>